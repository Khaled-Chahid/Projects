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a5e7e8d53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ques" sheetId="1" r:id="R698ab3d5ee4f487c"/>
    <x:sheet xmlns:r="http://schemas.openxmlformats.org/officeDocument/2006/relationships" name="Actions" sheetId="2" r:id="R6b78722c2aa94f1c"/>
    <x:sheet xmlns:r="http://schemas.openxmlformats.org/officeDocument/2006/relationships" name="Barème" sheetId="3" r:id="R83f607efa5f9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/mm/yyyy"/>
  </x:numFmts>
  <x:fonts count="7">
    <x:font>
      <x:sz val="11"/>
      <x:name val="Carlito"/>
    </x:font>
    <x:font>
      <x:sz val="10"/>
      <x:color rgb="FF202C38"/>
      <x:name val="Arial"/>
    </x:font>
    <x:font>
      <x:b/>
      <x:sz val="14"/>
      <x:color rgb="FF263D54"/>
      <x:name val="Arial"/>
    </x:font>
    <x:font>
      <x:i/>
      <x:sz val="10"/>
      <x:color rgb="FF566879"/>
      <x:name val="Arial"/>
    </x:font>
    <x:font>
      <x:b/>
      <x:sz val="10"/>
      <x:color rgb="FF566879"/>
      <x:name val="Arial"/>
    </x:font>
    <x:font>
      <x:sz val="10"/>
      <x:color rgb="FF56687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4F7"/>
      </x:patternFill>
    </x:fill>
    <x:fill>
      <x:patternFill patternType="solid">
        <x:fgColor rgb="FFFFF6DE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263D54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EE4E9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horizontal="right" vertical="center"/>
    </x:xf>
    <x:xf numFmtId="0" fontId="1" fillId="3" borderId="5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200" fontId="1" fillId="4" borderId="5" xfId="0" applyNumberFormat="1" applyFont="1" applyFill="1" applyBorder="1" applyAlignment="1">
      <x:alignment horizontal="right" vertical="center"/>
    </x:xf>
    <x:xf numFmtId="200" fontId="1" fillId="3" borderId="5" xfId="0" applyNumberFormat="1" applyFont="1" applyFill="1" applyBorder="1" applyAlignment="1">
      <x:alignment horizontal="right" vertical="center"/>
    </x:xf>
    <x:xf numFmtId="200" fontId="1" fillId="0" borderId="5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ont>
        <x:b/>
        <x:color rgb="FF842525"/>
      </x:font>
      <x:fill>
        <x:patternFill patternType="solid">
          <x:bgColor rgb="FFF1D9D9"/>
        </x:patternFill>
      </x:fill>
    </x:dxf>
    <x:dxf>
      <x:font>
        <x:color rgb="FF87521A"/>
      </x:font>
      <x:fill>
        <x:patternFill patternType="solid">
          <x:bgColor rgb="FFF5E4CB"/>
        </x:patternFill>
      </x:fill>
    </x:dxf>
    <x:dxf>
      <x:font>
        <x:color rgb="FF735E20"/>
      </x:font>
      <x:fill>
        <x:patternFill patternType="solid">
          <x:bgColor rgb="FFFAF0D3"/>
        </x:patternFill>
      </x:fill>
    </x:dxf>
    <x:dxf>
      <x:font>
        <x:color rgb="FF456039"/>
      </x:font>
      <x:fill>
        <x:patternFill patternType="solid">
          <x:bgColor rgb="FFE5EEDC"/>
        </x:patternFill>
      </x:fill>
    </x:dxf>
    <x:dxf>
      <x:font>
        <x:color rgb="FF842525"/>
      </x:font>
      <x:fill>
        <x:patternFill patternType="solid">
          <x:bgColor rgb="FFF1D9D9"/>
        </x:patternFill>
      </x:fill>
    </x:dxf>
    <x:dxf>
      <x:font>
        <x:b/>
        <x:color rgb="FF842525"/>
      </x:font>
      <x:fill>
        <x:patternFill patternType="solid">
          <x:bgColor rgb="FFF1D9D9"/>
        </x:patternFill>
      </x:fill>
    </x:dxf>
    <x:dxf>
      <x:font>
        <x:color rgb="FF87521A"/>
      </x:font>
      <x:fill>
        <x:patternFill patternType="solid">
          <x:bgColor rgb="FFF5E4CB"/>
        </x:patternFill>
      </x:fill>
    </x:dxf>
    <x:dxf>
      <x:font>
        <x:color rgb="FF735E20"/>
      </x:font>
      <x:fill>
        <x:patternFill patternType="solid">
          <x:bgColor rgb="FFFAF0D3"/>
        </x:patternFill>
      </x:fill>
    </x:dxf>
    <x:dxf>
      <x:font>
        <x:color rgb="FF456039"/>
      </x:font>
      <x:fill>
        <x:patternFill patternType="solid">
          <x:bgColor rgb="FFE5EEDC"/>
        </x:patternFill>
      </x:fill>
    </x:dxf>
    <x:dxf>
      <x:font>
        <x:color rgb="FF842525"/>
      </x:font>
      <x:fill>
        <x:patternFill patternType="solid">
          <x:bgColor rgb="FFF1D9D9"/>
        </x:patternFill>
      </x:fill>
    </x:dxf>
    <x:dxf>
      <x:font>
        <x:color rgb="FF735E20"/>
      </x:font>
      <x:fill>
        <x:patternFill patternType="solid">
          <x:bgColor rgb="FFFAF0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189bdc0ea4da3" /><Relationship Type="http://schemas.openxmlformats.org/officeDocument/2006/relationships/theme" Target="/xl/theme/theme1.xml" Id="Ra9b9ca4300904ae4" /><Relationship Type="http://schemas.openxmlformats.org/officeDocument/2006/relationships/sharedStrings" Target="/xl/sharedStrings.xml" Id="R1bc5c0e6ac304165" /><Relationship Type="http://schemas.openxmlformats.org/officeDocument/2006/relationships/worksheet" Target="/xl/worksheets/sheet1.xml" Id="R698ab3d5ee4f487c" /><Relationship Type="http://schemas.openxmlformats.org/officeDocument/2006/relationships/worksheet" Target="/xl/worksheets/sheet2.xml" Id="R6b78722c2aa94f1c" /><Relationship Type="http://schemas.openxmlformats.org/officeDocument/2006/relationships/worksheet" Target="/xl/worksheets/sheet3.xml" Id="R83f607efa5f940de" /></Relationships>
</file>

<file path=xl/tables/table1.xml><?xml version="1.0" encoding="utf-8"?>
<x:table xmlns:x="http://schemas.openxmlformats.org/spreadsheetml/2006/main" id="1" name="RegistreRisques" displayName="RegistreRisques" ref="A8:N13" headerRowCount="1" totalsRowCount="0" totalsRowShown="0">
  <x:tableColumns count="14">
    <x:tableColumn id="1" name="Risque"/>
    <x:tableColumn id="2" name="Scénario"/>
    <x:tableColumn id="3" name="Propriétaire"/>
    <x:tableColumn id="4" name="V actuelle"/>
    <x:tableColumn id="5" name="I actuel"/>
    <x:tableColumn id="6" name="Score actuel"/>
    <x:tableColumn id="7" name="Niveau actuel"/>
    <x:tableColumn id="8" name="V cible"/>
    <x:tableColumn id="9" name="I cible"/>
    <x:tableColumn id="10" name="Score cible"/>
    <x:tableColumn id="11" name="Niveau cible"/>
    <x:tableColumn id="12" name="Constat"/>
    <x:tableColumn id="13" name="Actions liées"/>
    <x:tableColumn id="14" name="Dé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iviActions" displayName="SuiviActions" ref="A8:L14" headerRowCount="1" totalsRowCount="0" totalsRowShown="0">
  <x:tableColumns count="12">
    <x:tableColumn id="1" name="Action"/>
    <x:tableColumn id="2" name="Constat"/>
    <x:tableColumn id="3" name="Responsable"/>
    <x:tableColumn id="4" name="Validation proposée"/>
    <x:tableColumn id="5" name="Échéance"/>
    <x:tableColumn id="6" name="Statut"/>
    <x:tableColumn id="7" name="Réalisation"/>
    <x:tableColumn id="8" name="Efficacité"/>
    <x:tableColumn id="9" name="Clôture"/>
    <x:tableColumn id="10" name="Risques liés"/>
    <x:tableColumn id="11" name="Preuve attendue"/>
    <x:tableColumn id="12" name="Test d’efficacit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ccbf3bb0a542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d0cbca63b84165" /></Relationships>
</file>

<file path=xl/worksheets/sheet1.xml><?xml version="1.0" encoding="utf-8"?>
<x:worksheet xmlns:x="http://schemas.openxmlformats.org/spreadsheetml/2006/main">
  <x:sheetPr>
    <x:tabColor rgb="FF263D54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1" hidden="0" customWidth="1"/>
    <x:col min="2" max="2" width="35" hidden="0" customWidth="1"/>
    <x:col min="3" max="3" width="26" hidden="0" customWidth="1"/>
    <x:col min="4" max="4" width="10" hidden="0" customWidth="1"/>
    <x:col min="5" max="5" width="10" hidden="0" customWidth="1"/>
    <x:col min="6" max="6" width="12" hidden="0" customWidth="1"/>
    <x:col min="7" max="7" width="14" hidden="0" customWidth="1"/>
    <x:col min="8" max="8" width="10" hidden="0" customWidth="1"/>
    <x:col min="9" max="9" width="10" hidden="0" customWidth="1"/>
    <x:col min="10" max="10" width="12" hidden="0" customWidth="1"/>
    <x:col min="11" max="11" width="14" hidden="0" customWidth="1"/>
    <x:col min="12" max="12" width="12" hidden="0" customWidth="1"/>
    <x:col min="13" max="13" width="22" hidden="0" customWidth="1"/>
    <x:col min="14" max="14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Registre des risques SSI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2" customHeight="1">
      <x:c r="A3" s="6" t="str">
        <x:v>Orbe Services, cas simulé. Situation au 30 septembre 2026.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2" customHeight="1">
      <x:c r="A5" s="7" t="str">
        <x:v>Critiques</x:v>
      </x:c>
      <x:c r="B5" s="7" t="str">
        <x:v>Élevés</x:v>
      </x:c>
      <x:c r="C5" s="7" t="str">
        <x:v>Modérés</x:v>
      </x:c>
      <x:c r="D5" s="2"/>
      <x:c r="E5" s="8" t="str">
        <x:v>Les scores cibles supposent réalisation et efficacité vérifiées.</x:v>
      </x:c>
      <x:c r="F5" s="2"/>
      <x:c r="G5" s="2"/>
      <x:c r="H5" s="2"/>
      <x:c r="I5" s="2"/>
      <x:c r="J5" s="2"/>
      <x:c r="K5" s="2"/>
      <x:c r="L5" s="2"/>
      <x:c r="M5" s="2"/>
      <x:c r="N5" s="2"/>
    </x:row>
    <x:row r="6" ht="22" customHeight="1">
      <x:c r="A6" s="3" t="n">
        <x:f>COUNTIFS(G9:G13,"Critique")</x:f>
        <x:v>1</x:v>
      </x:c>
      <x:c r="B6" s="3" t="n">
        <x:f>COUNTIFS(G9:G13,"Élevé")</x:f>
        <x:v>3</x:v>
      </x:c>
      <x:c r="C6" s="3" t="n">
        <x:f>COUNTIFS(G9:G13,"Modéré")</x:f>
        <x:v>1</x:v>
      </x:c>
      <x:c r="D6" s="2"/>
      <x:c r="E6" s="8" t="str">
        <x:v>Aucun risque résiduel observé. Décisions de direction à prendre.</x:v>
      </x:c>
      <x:c r="F6" s="2"/>
      <x:c r="G6" s="2"/>
      <x:c r="H6" s="2"/>
      <x:c r="I6" s="2"/>
      <x:c r="J6" s="2"/>
      <x:c r="K6" s="2"/>
      <x:c r="L6" s="2"/>
      <x:c r="M6" s="2"/>
      <x:c r="N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44" customHeight="1">
      <x:c r="A8" s="13" t="str">
        <x:v>Risque</x:v>
      </x:c>
      <x:c r="B8" s="14" t="str">
        <x:v>Scénario</x:v>
      </x:c>
      <x:c r="C8" s="14" t="str">
        <x:v>Propriétaire</x:v>
      </x:c>
      <x:c r="D8" s="14" t="str">
        <x:v>V actuelle</x:v>
      </x:c>
      <x:c r="E8" s="14" t="str">
        <x:v>I actuel</x:v>
      </x:c>
      <x:c r="F8" s="14" t="str">
        <x:v>Score actuel</x:v>
      </x:c>
      <x:c r="G8" s="14" t="str">
        <x:v>Niveau actuel</x:v>
      </x:c>
      <x:c r="H8" s="14" t="str">
        <x:v>V cible</x:v>
      </x:c>
      <x:c r="I8" s="14" t="str">
        <x:v>I cible</x:v>
      </x:c>
      <x:c r="J8" s="14" t="str">
        <x:v>Score cible</x:v>
      </x:c>
      <x:c r="K8" s="14" t="str">
        <x:v>Niveau cible</x:v>
      </x:c>
      <x:c r="L8" s="14" t="str">
        <x:v>Constat</x:v>
      </x:c>
      <x:c r="M8" s="14" t="str">
        <x:v>Actions liées</x:v>
      </x:c>
      <x:c r="N8" s="15" t="str">
        <x:v>Décision</x:v>
      </x:c>
    </x:row>
    <x:row r="9" ht="55" customHeight="1">
      <x:c r="A9" s="17" t="str">
        <x:v>R-01</x:v>
      </x:c>
      <x:c r="B9" s="19" t="str">
        <x:v>Accès conservé après un départ</x:v>
      </x:c>
      <x:c r="C9" s="19" t="str">
        <x:v>Responsable administratif</x:v>
      </x:c>
      <x:c r="D9" s="25" t="n">
        <x:v>3</x:v>
      </x:c>
      <x:c r="E9" s="25" t="n">
        <x:v>3</x:v>
      </x:c>
      <x:c r="F9" s="26" t="n">
        <x:f>IF(COUNT(D9:E9)=2,D9*E9,"À renseigner")</x:f>
        <x:v>9</x:v>
      </x:c>
      <x:c r="G9" s="17" t="str">
        <x:f>IF(ISNUMBER(F9),IF(F9&gt;='Barème'!$D$9,"Critique",IF(F9&gt;='Barème'!$D$8,"Élevé",IF(F9&gt;='Barème'!$D$7,"Modéré","Faible"))),"À renseigner")</x:f>
        <x:v>Élevé</x:v>
      </x:c>
      <x:c r="H9" s="25" t="n">
        <x:v>1</x:v>
      </x:c>
      <x:c r="I9" s="25" t="n">
        <x:v>3</x:v>
      </x:c>
      <x:c r="J9" s="26" t="n">
        <x:f>IF(COUNT(H9:I9)=2,H9*I9,"À renseigner")</x:f>
        <x:v>3</x:v>
      </x:c>
      <x:c r="K9" s="17" t="str">
        <x:f>IF(ISNUMBER(J9),IF(J9&gt;='Barème'!$D$9,"Critique",IF(J9&gt;='Barème'!$D$8,"Élevé",IF(J9&gt;='Barème'!$D$7,"Modéré","Faible"))),"À renseigner")</x:f>
        <x:v>Faible</x:v>
      </x:c>
      <x:c r="L9" s="19" t="str">
        <x:v>FE-01</x:v>
      </x:c>
      <x:c r="M9" s="19" t="str">
        <x:v>ACT-01, ACT-06</x:v>
      </x:c>
      <x:c r="N9" s="19" t="str">
        <x:v>À décider</x:v>
      </x:c>
    </x:row>
    <x:row r="10" ht="55" customHeight="1">
      <x:c r="A10" s="18" t="str">
        <x:v>R-02</x:v>
      </x:c>
      <x:c r="B10" s="20" t="str">
        <x:v>Droits excessifs non détectés</x:v>
      </x:c>
      <x:c r="C10" s="20" t="str">
        <x:v>Responsable opérations</x:v>
      </x:c>
      <x:c r="D10" s="25" t="n">
        <x:v>2</x:v>
      </x:c>
      <x:c r="E10" s="25" t="n">
        <x:v>3</x:v>
      </x:c>
      <x:c r="F10" s="27" t="n">
        <x:f>IF(COUNT(D10:E10)=2,D10*E10,"À renseigner")</x:f>
        <x:v>6</x:v>
      </x:c>
      <x:c r="G10" s="18" t="str">
        <x:f>IF(ISNUMBER(F10),IF(F10&gt;='Barème'!$D$9,"Critique",IF(F10&gt;='Barème'!$D$8,"Élevé",IF(F10&gt;='Barème'!$D$7,"Modéré","Faible"))),"À renseigner")</x:f>
        <x:v>Modéré</x:v>
      </x:c>
      <x:c r="H10" s="25" t="n">
        <x:v>1</x:v>
      </x:c>
      <x:c r="I10" s="25" t="n">
        <x:v>3</x:v>
      </x:c>
      <x:c r="J10" s="27" t="n">
        <x:f>IF(COUNT(H10:I10)=2,H10*I10,"À renseigner")</x:f>
        <x:v>3</x:v>
      </x:c>
      <x:c r="K10" s="18" t="str">
        <x:f>IF(ISNUMBER(J10),IF(J10&gt;='Barème'!$D$9,"Critique",IF(J10&gt;='Barème'!$D$8,"Élevé",IF(J10&gt;='Barème'!$D$7,"Modéré","Faible"))),"À renseigner")</x:f>
        <x:v>Faible</x:v>
      </x:c>
      <x:c r="L10" s="20" t="str">
        <x:v>FE-02</x:v>
      </x:c>
      <x:c r="M10" s="20" t="str">
        <x:v>ACT-02, ACT-06</x:v>
      </x:c>
      <x:c r="N10" s="20" t="str">
        <x:v>À décider</x:v>
      </x:c>
    </x:row>
    <x:row r="11" ht="55" customHeight="1">
      <x:c r="A11" s="17" t="str">
        <x:v>R-03</x:v>
      </x:c>
      <x:c r="B11" s="19" t="str">
        <x:v>Usage non attribuable de privilèges</x:v>
      </x:c>
      <x:c r="C11" s="19" t="str">
        <x:v>Responsable IT</x:v>
      </x:c>
      <x:c r="D11" s="25" t="n">
        <x:v>3</x:v>
      </x:c>
      <x:c r="E11" s="25" t="n">
        <x:v>4</x:v>
      </x:c>
      <x:c r="F11" s="26" t="n">
        <x:f>IF(COUNT(D11:E11)=2,D11*E11,"À renseigner")</x:f>
        <x:v>12</x:v>
      </x:c>
      <x:c r="G11" s="17" t="str">
        <x:f>IF(ISNUMBER(F11),IF(F11&gt;='Barème'!$D$9,"Critique",IF(F11&gt;='Barème'!$D$8,"Élevé",IF(F11&gt;='Barème'!$D$7,"Modéré","Faible"))),"À renseigner")</x:f>
        <x:v>Critique</x:v>
      </x:c>
      <x:c r="H11" s="25" t="n">
        <x:v>1</x:v>
      </x:c>
      <x:c r="I11" s="25" t="n">
        <x:v>4</x:v>
      </x:c>
      <x:c r="J11" s="26" t="n">
        <x:f>IF(COUNT(H11:I11)=2,H11*I11,"À renseigner")</x:f>
        <x:v>4</x:v>
      </x:c>
      <x:c r="K11" s="17" t="str">
        <x:f>IF(ISNUMBER(J11),IF(J11&gt;='Barème'!$D$9,"Critique",IF(J11&gt;='Barème'!$D$8,"Élevé",IF(J11&gt;='Barème'!$D$7,"Modéré","Faible"))),"À renseigner")</x:f>
        <x:v>Modéré</x:v>
      </x:c>
      <x:c r="L11" s="19" t="str">
        <x:v>FE-03</x:v>
      </x:c>
      <x:c r="M11" s="19" t="str">
        <x:v>ACT-03, ACT-06</x:v>
      </x:c>
      <x:c r="N11" s="19" t="str">
        <x:v>À décider</x:v>
      </x:c>
    </x:row>
    <x:row r="12" ht="55" customHeight="1">
      <x:c r="A12" s="18" t="str">
        <x:v>R-04</x:v>
      </x:c>
      <x:c r="B12" s="20" t="str">
        <x:v>Perte de données faute de copie récente</x:v>
      </x:c>
      <x:c r="C12" s="20" t="str">
        <x:v>Responsable opérations</x:v>
      </x:c>
      <x:c r="D12" s="25" t="n">
        <x:v>3</x:v>
      </x:c>
      <x:c r="E12" s="25" t="n">
        <x:v>3</x:v>
      </x:c>
      <x:c r="F12" s="27" t="n">
        <x:f>IF(COUNT(D12:E12)=2,D12*E12,"À renseigner")</x:f>
        <x:v>9</x:v>
      </x:c>
      <x:c r="G12" s="18" t="str">
        <x:f>IF(ISNUMBER(F12),IF(F12&gt;='Barème'!$D$9,"Critique",IF(F12&gt;='Barème'!$D$8,"Élevé",IF(F12&gt;='Barème'!$D$7,"Modéré","Faible"))),"À renseigner")</x:f>
        <x:v>Élevé</x:v>
      </x:c>
      <x:c r="H12" s="25" t="n">
        <x:v>1</x:v>
      </x:c>
      <x:c r="I12" s="25" t="n">
        <x:v>3</x:v>
      </x:c>
      <x:c r="J12" s="27" t="n">
        <x:f>IF(COUNT(H12:I12)=2,H12*I12,"À renseigner")</x:f>
        <x:v>3</x:v>
      </x:c>
      <x:c r="K12" s="18" t="str">
        <x:f>IF(ISNUMBER(J12),IF(J12&gt;='Barème'!$D$9,"Critique",IF(J12&gt;='Barème'!$D$8,"Élevé",IF(J12&gt;='Barème'!$D$7,"Modéré","Faible"))),"À renseigner")</x:f>
        <x:v>Faible</x:v>
      </x:c>
      <x:c r="L12" s="20" t="str">
        <x:v>FE-04</x:v>
      </x:c>
      <x:c r="M12" s="20" t="str">
        <x:v>ACT-04, ACT-06</x:v>
      </x:c>
      <x:c r="N12" s="20" t="str">
        <x:v>À décider</x:v>
      </x:c>
    </x:row>
    <x:row r="13" ht="55" customHeight="1">
      <x:c r="A13" s="17" t="str">
        <x:v>R-05</x:v>
      </x:c>
      <x:c r="B13" s="19" t="str">
        <x:v>Reprise du service non démontrée</x:v>
      </x:c>
      <x:c r="C13" s="19" t="str">
        <x:v>Responsable opérations</x:v>
      </x:c>
      <x:c r="D13" s="25" t="n">
        <x:v>2</x:v>
      </x:c>
      <x:c r="E13" s="25" t="n">
        <x:v>4</x:v>
      </x:c>
      <x:c r="F13" s="26" t="n">
        <x:f>IF(COUNT(D13:E13)=2,D13*E13,"À renseigner")</x:f>
        <x:v>8</x:v>
      </x:c>
      <x:c r="G13" s="17" t="str">
        <x:f>IF(ISNUMBER(F13),IF(F13&gt;='Barème'!$D$9,"Critique",IF(F13&gt;='Barème'!$D$8,"Élevé",IF(F13&gt;='Barème'!$D$7,"Modéré","Faible"))),"À renseigner")</x:f>
        <x:v>Élevé</x:v>
      </x:c>
      <x:c r="H13" s="25" t="n">
        <x:v>1</x:v>
      </x:c>
      <x:c r="I13" s="25" t="n">
        <x:v>4</x:v>
      </x:c>
      <x:c r="J13" s="26" t="n">
        <x:f>IF(COUNT(H13:I13)=2,H13*I13,"À renseigner")</x:f>
        <x:v>4</x:v>
      </x:c>
      <x:c r="K13" s="17" t="str">
        <x:f>IF(ISNUMBER(J13),IF(J13&gt;='Barème'!$D$9,"Critique",IF(J13&gt;='Barème'!$D$8,"Élevé",IF(J13&gt;='Barème'!$D$7,"Modéré","Faible"))),"À renseigner")</x:f>
        <x:v>Modéré</x:v>
      </x:c>
      <x:c r="L13" s="19" t="str">
        <x:v>FE-05</x:v>
      </x:c>
      <x:c r="M13" s="19" t="str">
        <x:v>ACT-05, ACT-06</x:v>
      </x:c>
      <x:c r="N13" s="19" t="str">
        <x:v>À décider</x:v>
      </x:c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2" customHeight="1">
      <x:c r="A15" s="8" t="str">
        <x:v>V : vraisemblance. I : impact. Notes de 1 à 4. Score = V × I. Champs jaunes : notes modifiables.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2" customHeight="1">
      <x:c r="A16" s="8" t="str">
        <x:v>Justifications et preuves : Travaux/analyse-risques.md ; export figé : Travaux/registre-risques.csv.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</x:sheetData>
  <x:conditionalFormatting sqref="F9:F13">
    <x:cfRule type="cellIs" dxfId="0" priority="1" operator="greaterThanOrEqual">
      <x:formula>12</x:formula>
    </x:cfRule>
    <x:cfRule type="cellIs" dxfId="1" priority="2" operator="between">
      <x:formula>8</x:formula>
      <x:formula>11</x:formula>
    </x:cfRule>
    <x:cfRule type="cellIs" dxfId="2" priority="3" operator="between">
      <x:formula>4</x:formula>
      <x:formula>7</x:formula>
    </x:cfRule>
    <x:cfRule type="cellIs" dxfId="3" priority="4" operator="between">
      <x:formula>1</x:formula>
      <x:formula>3</x:formula>
    </x:cfRule>
    <x:cfRule type="containsText" dxfId="4" priority="5" operator="containsText" text="À renseigner"/>
  </x:conditionalFormatting>
  <x:conditionalFormatting sqref="J9:J13">
    <x:cfRule type="cellIs" dxfId="5" priority="6" operator="greaterThanOrEqual">
      <x:formula>12</x:formula>
    </x:cfRule>
    <x:cfRule type="cellIs" dxfId="6" priority="7" operator="between">
      <x:formula>8</x:formula>
      <x:formula>11</x:formula>
    </x:cfRule>
    <x:cfRule type="cellIs" dxfId="7" priority="8" operator="between">
      <x:formula>4</x:formula>
      <x:formula>7</x:formula>
    </x:cfRule>
    <x:cfRule type="cellIs" dxfId="8" priority="9" operator="between">
      <x:formula>1</x:formula>
      <x:formula>3</x:formula>
    </x:cfRule>
    <x:cfRule type="containsText" dxfId="9" priority="10" operator="containsText" text="À renseigner"/>
  </x:conditionalFormatting>
  <x:dataValidations count="3">
    <x:dataValidation type="whole" operator="between" sqref="D9:E13">
      <x:formula1>1</x:formula1>
      <x:formula2>4</x:formula2>
    </x:dataValidation>
    <x:dataValidation type="whole" operator="between" sqref="H9:I13">
      <x:formula1>1</x:formula1>
      <x:formula2>4</x:formula2>
    </x:dataValidation>
    <x:dataValidation type="list" sqref="N9:N13">
      <x:formula1>"À décider,Réduire,Accepter,Éviter,Partager"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ccbf3bb0a542b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6" hidden="0" customWidth="1"/>
    <x:col min="5" max="5" width="15" hidden="0" customWidth="1"/>
    <x:col min="6" max="6" width="14" hidden="0" customWidth="1"/>
    <x:col min="7" max="7" width="18" hidden="0" customWidth="1"/>
    <x:col min="8" max="8" width="18" hidden="0" customWidth="1"/>
    <x:col min="9" max="9" width="14" hidden="0" customWidth="1"/>
    <x:col min="10" max="10" width="26" hidden="0" customWidth="1"/>
    <x:col min="11" max="11" width="56" hidden="0" customWidth="1"/>
    <x:col min="12" max="12" width="6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4" t="str">
        <x:v>Suivi des actions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2" customHeight="1">
      <x:c r="A3" s="6" t="str">
        <x:v>Version du 11 octobre 2026. Toutes les actions sont proposées.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 t="str">
        <x:v>Actions proposées</x:v>
      </x:c>
      <x:c r="B5" s="2" t="n">
        <x:f>COUNTIFS(F9:F14,"Proposée")</x:f>
        <x:v>6</x:v>
      </x:c>
      <x:c r="C5" s="2"/>
      <x:c r="D5" s="8" t="str">
        <x:v>Aucune clôture ni approbation acquise dans le cas.</x:v>
      </x:c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44" customHeight="1">
      <x:c r="A8" s="13" t="str">
        <x:v>Action</x:v>
      </x:c>
      <x:c r="B8" s="14" t="str">
        <x:v>Constat</x:v>
      </x:c>
      <x:c r="C8" s="14" t="str">
        <x:v>Responsable</x:v>
      </x:c>
      <x:c r="D8" s="14" t="str">
        <x:v>Validation proposée</x:v>
      </x:c>
      <x:c r="E8" s="14" t="str">
        <x:v>Échéance</x:v>
      </x:c>
      <x:c r="F8" s="14" t="str">
        <x:v>Statut</x:v>
      </x:c>
      <x:c r="G8" s="14" t="str">
        <x:v>Réalisation</x:v>
      </x:c>
      <x:c r="H8" s="14" t="str">
        <x:v>Efficacité</x:v>
      </x:c>
      <x:c r="I8" s="14" t="str">
        <x:v>Clôture</x:v>
      </x:c>
      <x:c r="J8" s="14" t="str">
        <x:v>Risques liés</x:v>
      </x:c>
      <x:c r="K8" s="14" t="str">
        <x:v>Preuve attendue</x:v>
      </x:c>
      <x:c r="L8" s="15" t="str">
        <x:v>Test d’efficacité</x:v>
      </x:c>
    </x:row>
    <x:row r="9" ht="60" customHeight="1">
      <x:c r="A9" s="17" t="str">
        <x:v>ACT-01</x:v>
      </x:c>
      <x:c r="B9" s="17" t="str">
        <x:v>FE-01</x:v>
      </x:c>
      <x:c r="C9" s="19" t="str">
        <x:v>Responsable IT</x:v>
      </x:c>
      <x:c r="D9" s="19" t="str">
        <x:v>Responsable administratif</x:v>
      </x:c>
      <x:c r="E9" s="29" t="d">
        <x:v>2026-10-12T00:00:00.000Z</x:v>
      </x:c>
      <x:c r="F9" s="28" t="str">
        <x:v>Proposée</x:v>
      </x:c>
      <x:c r="G9" s="28" t="str">
        <x:v>Non démontrée</x:v>
      </x:c>
      <x:c r="H9" s="28" t="str">
        <x:v>Non vérifiée</x:v>
      </x:c>
      <x:c r="I9" s="19" t="str">
        <x:f>IF(AND(F9="Réalisée",G9="Démontrée",H9="Vérifiée"),"À valider","Ouverte")</x:f>
        <x:v>Ouverte</x:v>
      </x:c>
      <x:c r="J9" s="19" t="str">
        <x:v>R-01</x:v>
      </x:c>
      <x:c r="K9" s="19" t="str">
        <x:v>Export daté, tickets clôturés, trace de retrait VPN et contrôle des sessions.</x:v>
      </x:c>
      <x:c r="L9" s="19" t="str">
        <x:v>Vérifier les quatre départs historiques puis les trois prochains départs : clôture avant fin du dernier jour et validation RH/IT.</x:v>
      </x:c>
    </x:row>
    <x:row r="10" ht="60" customHeight="1">
      <x:c r="A10" s="18" t="str">
        <x:v>ACT-02</x:v>
      </x:c>
      <x:c r="B10" s="18" t="str">
        <x:v>FE-02</x:v>
      </x:c>
      <x:c r="C10" s="20" t="str">
        <x:v>Responsable opérations</x:v>
      </x:c>
      <x:c r="D10" s="20" t="str">
        <x:v>Direction</x:v>
      </x:c>
      <x:c r="E10" s="30" t="d">
        <x:v>2026-10-23T00:00:00.000Z</x:v>
      </x:c>
      <x:c r="F10" s="28" t="str">
        <x:v>Proposée</x:v>
      </x:c>
      <x:c r="G10" s="28" t="str">
        <x:v>Non démontrée</x:v>
      </x:c>
      <x:c r="H10" s="28" t="str">
        <x:v>Non vérifiée</x:v>
      </x:c>
      <x:c r="I10" s="20" t="str">
        <x:f>IF(AND(F10="Réalisée",G10="Démontrée",H10="Vérifiée"),"À valider","Ouverte")</x:f>
        <x:v>Ouverte</x:v>
      </x:c>
      <x:c r="J10" s="20" t="str">
        <x:v>R-02</x:v>
      </x:c>
      <x:c r="K10" s="20" t="str">
        <x:v>Matrice de droits validée, décisions motivées par groupe et ticket MOB-0801 traité.</x:v>
      </x:c>
      <x:c r="L10" s="20" t="str">
        <x:v>Contrôler dix comptes et le prochain changement de poste ; aucune attribution sans justification métier.</x:v>
      </x:c>
    </x:row>
    <x:row r="11" ht="60" customHeight="1">
      <x:c r="A11" s="17" t="str">
        <x:v>ACT-03</x:v>
      </x:c>
      <x:c r="B11" s="17" t="str">
        <x:v>FE-03</x:v>
      </x:c>
      <x:c r="C11" s="19" t="str">
        <x:v>Responsable IT</x:v>
      </x:c>
      <x:c r="D11" s="19" t="str">
        <x:v>Direction</x:v>
      </x:c>
      <x:c r="E11" s="29" t="d">
        <x:v>2026-10-16T00:00:00.000Z</x:v>
      </x:c>
      <x:c r="F11" s="28" t="str">
        <x:v>Proposée</x:v>
      </x:c>
      <x:c r="G11" s="28" t="str">
        <x:v>Non démontrée</x:v>
      </x:c>
      <x:c r="H11" s="28" t="str">
        <x:v>Non vérifiée</x:v>
      </x:c>
      <x:c r="I11" s="19" t="str">
        <x:f>IF(AND(F11="Réalisée",G11="Démontrée",H11="Vérifiée"),"À valider","Ouverte")</x:f>
        <x:v>Ouverte</x:v>
      </x:c>
      <x:c r="J11" s="19" t="str">
        <x:v>R-03</x:v>
      </x:c>
      <x:c r="K11" s="19" t="str">
        <x:v>Groupes mis à jour, ticket de migration et journaux associés aux comptes individuels.</x:v>
      </x:c>
      <x:c r="L11" s="19" t="str">
        <x:v>Échantillon de cinq opérations : attribution à un intervenant et absence de dépendance au compte partagé.</x:v>
      </x:c>
    </x:row>
    <x:row r="12" ht="60" customHeight="1">
      <x:c r="A12" s="18" t="str">
        <x:v>ACT-04</x:v>
      </x:c>
      <x:c r="B12" s="18" t="str">
        <x:v>FE-04</x:v>
      </x:c>
      <x:c r="C12" s="20" t="str">
        <x:v>Responsable IT</x:v>
      </x:c>
      <x:c r="D12" s="20" t="str">
        <x:v>Responsable opérations</x:v>
      </x:c>
      <x:c r="E12" s="30" t="d">
        <x:v>2026-10-14T00:00:00.000Z</x:v>
      </x:c>
      <x:c r="F12" s="28" t="str">
        <x:v>Proposée</x:v>
      </x:c>
      <x:c r="G12" s="28" t="str">
        <x:v>Non démontrée</x:v>
      </x:c>
      <x:c r="H12" s="28" t="str">
        <x:v>Non vérifiée</x:v>
      </x:c>
      <x:c r="I12" s="20" t="str">
        <x:f>IF(AND(F12="Réalisée",G12="Démontrée",H12="Vérifiée"),"À valider","Ouverte")</x:f>
        <x:v>Ouverte</x:v>
      </x:c>
      <x:c r="J12" s="20" t="str">
        <x:v>R-04</x:v>
      </x:c>
      <x:c r="K12" s="20" t="str">
        <x:v>Ticket d’incident de sauvegarde, journal de reprise et test contrôlé de notification.</x:v>
      </x:c>
      <x:c r="L12" s="20" t="str">
        <x:v>Simuler un échec sans données de production puis vérifier sept nuits de copie distante et la prise en charge des alertes.</x:v>
      </x:c>
    </x:row>
    <x:row r="13" ht="60" customHeight="1">
      <x:c r="A13" s="17" t="str">
        <x:v>ACT-05</x:v>
      </x:c>
      <x:c r="B13" s="17" t="str">
        <x:v>FE-05</x:v>
      </x:c>
      <x:c r="C13" s="19" t="str">
        <x:v>Responsable IT</x:v>
      </x:c>
      <x:c r="D13" s="19" t="str">
        <x:v>Responsable opérations</x:v>
      </x:c>
      <x:c r="E13" s="29" t="d">
        <x:v>2026-10-30T00:00:00.000Z</x:v>
      </x:c>
      <x:c r="F13" s="28" t="str">
        <x:v>Proposée</x:v>
      </x:c>
      <x:c r="G13" s="28" t="str">
        <x:v>Non démontrée</x:v>
      </x:c>
      <x:c r="H13" s="28" t="str">
        <x:v>Non vérifiée</x:v>
      </x:c>
      <x:c r="I13" s="19" t="str">
        <x:f>IF(AND(F13="Réalisée",G13="Démontrée",H13="Vérifiée"),"À valider","Ouverte")</x:f>
        <x:v>Ouverte</x:v>
      </x:c>
      <x:c r="J13" s="19" t="str">
        <x:v>R-05</x:v>
      </x:c>
      <x:c r="K13" s="19" t="str">
        <x:v>Compte rendu chronométré, point de sauvegarde utilisé et validation métier des fichiers et accès.</x:v>
      </x:c>
      <x:c r="L13" s="19" t="str">
        <x:v>Reprise du service en 8 h au maximum et point restauré vieux de 24 h au maximum ; sinon conserver l’écart ouvert.</x:v>
      </x:c>
    </x:row>
    <x:row r="14" ht="60" customHeight="1">
      <x:c r="A14" s="18" t="str">
        <x:v>ACT-06</x:v>
      </x:c>
      <x:c r="B14" s="18" t="str">
        <x:v>FE-06</x:v>
      </x:c>
      <x:c r="C14" s="20" t="str">
        <x:v>Responsable administratif</x:v>
      </x:c>
      <x:c r="D14" s="20" t="str">
        <x:v>Direction</x:v>
      </x:c>
      <x:c r="E14" s="30" t="d">
        <x:v>2026-10-23T00:00:00.000Z</x:v>
      </x:c>
      <x:c r="F14" s="28" t="str">
        <x:v>Proposée</x:v>
      </x:c>
      <x:c r="G14" s="28" t="str">
        <x:v>Non démontrée</x:v>
      </x:c>
      <x:c r="H14" s="28" t="str">
        <x:v>Non vérifiée</x:v>
      </x:c>
      <x:c r="I14" s="20" t="str">
        <x:f>IF(AND(F14="Réalisée",G14="Démontrée",H14="Vérifiée"),"À valider","Ouverte")</x:f>
        <x:v>Ouverte</x:v>
      </x:c>
      <x:c r="J14" s="20" t="str">
        <x:v>R-01, R-02, R-03, R-04, R-05</x:v>
      </x:c>
      <x:c r="K14" s="20" t="str">
        <x:v>Compte rendu de revue daté avec décisions, exceptions et échéances.</x:v>
      </x:c>
      <x:c r="L14" s="20" t="str">
        <x:v>Le 30 novembre, rapprocher chaque action des preuves ; garder ouverts les dossiers non démontrés.</x:v>
      </x:c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8" t="str">
        <x:v>« À valider » exige encore une décision humaine. Détail des corrections et dépendances : Travaux/plan-actions.md.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</x:sheetData>
  <x:conditionalFormatting sqref="I9:I14">
    <x:cfRule type="containsText" dxfId="10" priority="1" operator="containsText" text="À valider"/>
  </x:conditionalFormatting>
  <x:dataValidations count="3">
    <x:dataValidation type="list" sqref="F9:F14">
      <x:formula1>"Proposée,Approuvée,En cours,Réalisée"</x:formula1>
    </x:dataValidation>
    <x:dataValidation type="list" sqref="G9:G14">
      <x:formula1>"Non démontrée,Démontrée"</x:formula1>
    </x:dataValidation>
    <x:dataValidation type="list" sqref="H9:H14">
      <x:formula1>"Non vérifiée,Vérifiée,Non concluante"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d0cbca63b841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58" hidden="0" customWidth="1"/>
    <x:col min="3" max="3" width="66" hidden="0" customWidth="1"/>
    <x:col min="4" max="4" width="16" hidden="0" customWidth="1"/>
    <x:col min="5" max="5" width="17" hidden="0" customWidth="1"/>
  </x:cols>
  <x:sheetData>
    <x:row r="1" ht="22" customHeight="1">
      <x:c r="A1" s="2"/>
      <x:c r="B1" s="2"/>
      <x:c r="C1" s="2"/>
      <x:c r="D1" s="2"/>
      <x:c r="E1" s="2"/>
    </x:row>
    <x:row r="2" ht="30" customHeight="1">
      <x:c r="A2" s="4" t="str">
        <x:v>Barème du cas</x:v>
      </x:c>
      <x:c r="B2" s="5"/>
      <x:c r="C2" s="5"/>
      <x:c r="D2" s="5"/>
      <x:c r="E2" s="5"/>
    </x:row>
    <x:row r="3" ht="22" customHeight="1">
      <x:c r="A3" s="6" t="str">
        <x:v>Horizon : douze mois. Vraisemblance qualitative, sans probabilité statistique.</x:v>
      </x:c>
      <x:c r="B3" s="2"/>
      <x:c r="C3" s="2"/>
      <x:c r="D3" s="2"/>
      <x:c r="E3" s="2"/>
    </x:row>
    <x:row r="4" ht="22" customHeight="1">
      <x:c r="A4" s="2"/>
      <x:c r="B4" s="2"/>
      <x:c r="C4" s="2"/>
      <x:c r="D4" s="2"/>
      <x:c r="E4" s="2"/>
    </x:row>
    <x:row r="5" ht="44" customHeight="1">
      <x:c r="A5" s="2" t="str">
        <x:v>Score = V × I</x:v>
      </x:c>
      <x:c r="B5" s="2"/>
      <x:c r="C5" s="2"/>
      <x:c r="D5" s="13" t="str">
        <x:v>Score minimal</x:v>
      </x:c>
      <x:c r="E5" s="15" t="str">
        <x:v>Niveau</x:v>
      </x:c>
    </x:row>
    <x:row r="6" ht="22" customHeight="1">
      <x:c r="A6" s="2" t="str">
        <x:v>Notes actuelles : contrôles existants pris en compte.</x:v>
      </x:c>
      <x:c r="B6" s="2"/>
      <x:c r="C6" s="2"/>
      <x:c r="D6" s="2" t="n">
        <x:v>1</x:v>
      </x:c>
      <x:c r="E6" s="2" t="str">
        <x:v>Faible</x:v>
      </x:c>
    </x:row>
    <x:row r="7" ht="22" customHeight="1">
      <x:c r="A7" s="2" t="str">
        <x:v>Notes cibles : après réalisation et vérification.</x:v>
      </x:c>
      <x:c r="B7" s="2"/>
      <x:c r="C7" s="2"/>
      <x:c r="D7" s="2" t="n">
        <x:v>4</x:v>
      </x:c>
      <x:c r="E7" s="2" t="str">
        <x:v>Modéré</x:v>
      </x:c>
    </x:row>
    <x:row r="8" ht="22" customHeight="1">
      <x:c r="A8" s="2" t="str">
        <x:v>L’acceptation appartient à la direction.</x:v>
      </x:c>
      <x:c r="B8" s="2"/>
      <x:c r="C8" s="2"/>
      <x:c r="D8" s="2" t="n">
        <x:v>8</x:v>
      </x:c>
      <x:c r="E8" s="2" t="str">
        <x:v>Élevé</x:v>
      </x:c>
    </x:row>
    <x:row r="9" ht="22" customHeight="1">
      <x:c r="A9" s="2"/>
      <x:c r="B9" s="2"/>
      <x:c r="C9" s="2"/>
      <x:c r="D9" s="2" t="n">
        <x:v>12</x:v>
      </x:c>
      <x:c r="E9" s="2" t="str">
        <x:v>Critique</x:v>
      </x:c>
    </x:row>
    <x:row r="10" ht="22" customHeight="1">
      <x:c r="A10" s="2"/>
      <x:c r="B10" s="2"/>
      <x:c r="C10" s="2"/>
      <x:c r="D10" s="2"/>
      <x:c r="E10" s="2"/>
    </x:row>
    <x:row r="11" ht="44" customHeight="1">
      <x:c r="A11" s="13" t="str">
        <x:v>Note</x:v>
      </x:c>
      <x:c r="B11" s="14" t="str">
        <x:v>Vraisemblance</x:v>
      </x:c>
      <x:c r="C11" s="15" t="str">
        <x:v>Impact maximal plausible</x:v>
      </x:c>
      <x:c r="D11" s="2"/>
      <x:c r="E11" s="2"/>
    </x:row>
    <x:row r="12" ht="38" customHeight="1">
      <x:c r="A12" s="17" t="n">
        <x:v>1</x:v>
      </x:c>
      <x:c r="B12" s="19" t="str">
        <x:v>Peu plausible : prérequis difficiles, contrôles crédibles.</x:v>
      </x:c>
      <x:c r="C12" s="19" t="str">
        <x:v>Gêne &lt; 2 h, travail récupérable, pas de diffusion sensible.</x:v>
      </x:c>
      <x:c r="D12" s="2"/>
      <x:c r="E12" s="2"/>
    </x:row>
    <x:row r="13" ht="38" customHeight="1">
      <x:c r="A13" s="18" t="n">
        <x:v>2</x:v>
      </x:c>
      <x:c r="B13" s="20" t="str">
        <x:v>Possible : exposition partielle ou maîtrise incertaine.</x:v>
      </x:c>
      <x:c r="C13" s="20" t="str">
        <x:v>Perturbation de 2 à 8 h ou reprise manuelle limitée.</x:v>
      </x:c>
      <x:c r="D13" s="2"/>
      <x:c r="E13" s="2"/>
    </x:row>
    <x:row r="14" ht="38" customHeight="1">
      <x:c r="A14" s="17" t="n">
        <x:v>3</x:v>
      </x:c>
      <x:c r="B14" s="19" t="str">
        <x:v>Plausible : faiblesse confirmée, scénario accessible.</x:v>
      </x:c>
      <x:c r="C14" s="19" t="str">
        <x:v>Perturbation &gt; 8 h à 48 h, divulgation sensible ou reprise coûteuse.</x:v>
      </x:c>
      <x:c r="D14" s="2"/>
      <x:c r="E14" s="2"/>
    </x:row>
    <x:row r="15" ht="38" customHeight="1">
      <x:c r="A15" s="18" t="n">
        <x:v>4</x:v>
      </x:c>
      <x:c r="B15" s="20" t="str">
        <x:v>Très plausible : exposition directe, maîtrise largement absente.</x:v>
      </x:c>
      <x:c r="C15" s="20" t="str">
        <x:v>Perturbation &gt; 48 h, perte durable ou atteinte étendue.</x:v>
      </x:c>
      <x:c r="D15" s="2"/>
      <x:c r="E15" s="2"/>
    </x:row>
    <x:row r="16" ht="22" customHeight="1">
      <x:c r="A16" s="2"/>
      <x:c r="B16" s="2"/>
      <x:c r="C16" s="2"/>
      <x:c r="D16" s="2"/>
      <x:c r="E16" s="2"/>
    </x:row>
    <x:row r="17" ht="22" customHeight="1">
      <x:c r="A17" s="8" t="str">
        <x:v>Origine : barème de l’étude ; ce classement n’est pas imposé par ISO 27001.</x:v>
      </x:c>
      <x:c r="B17" s="2"/>
      <x:c r="C17" s="2"/>
      <x:c r="D17" s="2"/>
      <x:c r="E17" s="2"/>
    </x:row>
    <x:row r="18" ht="22" customHeight="1">
      <x:c r="A18" s="8" t="str">
        <x:v>Cadre : https://www.iso.org/standard/27001</x:v>
      </x:c>
      <x:c r="B18" s="2"/>
      <x:c r="C18" s="2"/>
      <x:c r="D18" s="2"/>
      <x:c r="E18" s="2"/>
    </x:row>
    <x:row r="19" ht="22" customHeight="1">
      <x:c r="A19" s="8" t="str">
        <x:v>Source des entrées : Travaux/analyse-risques.md et Travaux/plan-actions.md, version 1.0.</x:v>
      </x:c>
      <x:c r="B19" s="2"/>
      <x:c r="C19" s="2"/>
      <x:c r="D19" s="2"/>
      <x:c r="E19" s="2"/>
    </x:row>
    <x:row r="20" ht="22" customHeight="1">
      <x:c r="A20" s="8" t="str">
        <x:v>Le CSV conserve la photographie initiale ; les formules Excel réagissent aux notes modifiées.</x:v>
      </x:c>
      <x:c r="B20" s="2"/>
      <x:c r="C20" s="2"/>
      <x:c r="D20" s="2"/>
      <x:c r="E20" s="2"/>
    </x:row>
    <x:row r="21" ht="22" customHeight="1">
      <x:c r="A21" s="2"/>
      <x:c r="B21" s="2"/>
      <x:c r="C21" s="2"/>
      <x:c r="D21" s="2"/>
      <x:c r="E21" s="2"/>
    </x:row>
    <x:row r="22" ht="22" customHeight="1">
      <x:c r="A22" s="2"/>
      <x:c r="B22" s="2"/>
      <x:c r="C22" s="2"/>
      <x:c r="D22" s="2"/>
      <x:c r="E22" s="2"/>
    </x:row>
  </x:sheetData>
  <x:pageMargins left="0.7" right="0.7" top="0.75" bottom="0.75" header="0.3" footer="0.3"/>
</x:worksheet>
</file>